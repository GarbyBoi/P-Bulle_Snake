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Hub\P-Bulle_Snake\doc\"/>
    </mc:Choice>
  </mc:AlternateContent>
  <xr:revisionPtr revIDLastSave="0" documentId="13_ncr:1_{EA164333-A8B3-4551-9E08-2D85369F4368}" xr6:coauthVersionLast="47" xr6:coauthVersionMax="47" xr10:uidLastSave="{00000000-0000-0000-0000-000000000000}"/>
  <bookViews>
    <workbookView xWindow="3030" yWindow="3030" windowWidth="21600" windowHeight="11385" firstSheet="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7" l="1"/>
  <c r="D20" i="157" s="1"/>
  <c r="D39" i="157" s="1"/>
  <c r="D58" i="157" s="1"/>
  <c r="D77" i="157" s="1"/>
  <c r="D96" i="157" s="1"/>
  <c r="D115" i="157" s="1"/>
  <c r="B132" i="157"/>
  <c r="B113" i="157"/>
  <c r="B94" i="157"/>
  <c r="B75" i="157"/>
  <c r="B56" i="157"/>
  <c r="B37" i="157"/>
  <c r="B18" i="157"/>
  <c r="B18" i="154"/>
  <c r="B13" i="11" l="1"/>
</calcChain>
</file>

<file path=xl/sharedStrings.xml><?xml version="1.0" encoding="utf-8"?>
<sst xmlns="http://schemas.openxmlformats.org/spreadsheetml/2006/main" count="134" uniqueCount="54">
  <si>
    <t>Module :</t>
  </si>
  <si>
    <t xml:space="preserve">P_Bulles DEV-PPT </t>
  </si>
  <si>
    <t>Prénom - nom :</t>
  </si>
  <si>
    <t>Rayan Bartou</t>
  </si>
  <si>
    <t>Classe :</t>
  </si>
  <si>
    <t>FID2</t>
  </si>
  <si>
    <t>Lieu :</t>
  </si>
  <si>
    <t>ETML site de 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</si>
  <si>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</si>
  <si>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</si>
  <si>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</si>
  <si>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</si>
  <si>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</si>
  <si>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</si>
  <si>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</si>
  <si>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</si>
  <si>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</si>
  <si>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organisation</t>
  </si>
  <si>
    <t>rapport</t>
  </si>
  <si>
    <t>programation</t>
  </si>
  <si>
    <t>tests</t>
  </si>
  <si>
    <t>corrections</t>
  </si>
  <si>
    <t>recherches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</si>
  <si>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</si>
  <si>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</si>
  <si>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</si>
  <si>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</si>
  <si>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</si>
  <si>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</si>
  <si>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</si>
  <si>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</si>
  <si>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</si>
  <si>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</si>
  <si>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</si>
  <si>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présentations, découverte du prjet</t>
  </si>
  <si>
    <t>création et communication du github</t>
  </si>
  <si>
    <t>recherches sur js</t>
  </si>
  <si>
    <t>Max. 9</t>
  </si>
  <si>
    <t>discution des critères d'évaluation et du journal de travail</t>
  </si>
  <si>
    <t xml:space="preserve">réalisations des fichiers journal de travail et rapport et versionning dans le teams, </t>
  </si>
  <si>
    <t>recherche sur les listes et fonction js pour le snake.js</t>
  </si>
  <si>
    <t>premières tentatives avec le fonctions init() et movesnake()</t>
  </si>
  <si>
    <t>feedback et correction de la structure des fichiers</t>
  </si>
  <si>
    <t>ajout et correction des methode pour le déplacement basic du snake et de ca queue sans gestion des colisions</t>
  </si>
  <si>
    <t>ajout d'un fichier pour les images du rapport et captures d'écrans pour garder un fil rouge pour le rapport</t>
  </si>
  <si>
    <t>STOP</t>
  </si>
  <si>
    <t>lundi du jeune</t>
  </si>
  <si>
    <t>correction des doubles mouvements, directionQueue permets de les effectuer 1 à la fois</t>
  </si>
  <si>
    <t>ajout du score</t>
  </si>
  <si>
    <t>progrès dans le rapport</t>
  </si>
  <si>
    <t>correction du message gameover</t>
  </si>
  <si>
    <t>implémetation du wall collisions, fin de partie en cas de collision avec les murs</t>
  </si>
  <si>
    <t>progression dans le raport</t>
  </si>
  <si>
    <t>finition du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</si>
</sst>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14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20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21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22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23</v>
      </c>
      <c r="C2" s="15" t="s">
        <v>24</v>
      </c>
    </row>
    <row r="3" spans="1:4" ht="19.5" customHeight="1" x14ac:dyDescent="0.25">
      <c r="A3" s="19"/>
      <c r="B3" s="94" t="s">
        <v>16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25</v>
      </c>
      <c r="C3" s="27">
        <v>0</v>
      </c>
    </row>
    <row r="4" spans="2:3" ht="18.75" thickBot="1" x14ac:dyDescent="0.3">
      <c r="B4" s="26" t="s">
        <v>26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27</v>
      </c>
      <c r="B1" s="7">
        <v>1</v>
      </c>
      <c r="C1" s="17"/>
      <c r="D1" s="85"/>
    </row>
    <row r="2" spans="1:4" ht="27.75" thickBot="1" x14ac:dyDescent="0.3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/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65BA3-339B-481A-B2D7-3B6D562A9048}">
  <sheetPr codeName="Feuil9"/>
  <dimension ref="A1:H134"/>
  <sheetViews>
    <sheetView tabSelected="1" topLeftCell="A112" workbookViewId="0">
      <selection activeCell="C119" sqref="C11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>
        <f>Donnees!$C$9</f>
        <v>45894</v>
      </c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5" t="s">
        <v>17</v>
      </c>
      <c r="B3" s="4">
        <v>6</v>
      </c>
      <c r="C3" s="88" t="s">
        <v>34</v>
      </c>
      <c r="D3" s="9"/>
    </row>
    <row r="4" spans="1:4" s="52" customFormat="1" x14ac:dyDescent="0.25">
      <c r="A4" s="1" t="s">
        <v>17</v>
      </c>
      <c r="B4" s="2">
        <v>1</v>
      </c>
      <c r="C4" s="89" t="s">
        <v>35</v>
      </c>
      <c r="D4" s="10"/>
    </row>
    <row r="5" spans="1:4" s="52" customFormat="1" x14ac:dyDescent="0.25">
      <c r="A5" s="1" t="s">
        <v>22</v>
      </c>
      <c r="B5" s="2">
        <v>2</v>
      </c>
      <c r="C5" s="89" t="s">
        <v>36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9</v>
      </c>
      <c r="C18" s="86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27</v>
      </c>
      <c r="B20" s="43">
        <v>2</v>
      </c>
      <c r="C20" s="44" t="s">
        <v>33</v>
      </c>
      <c r="D20" s="53">
        <f>$D$1+7</f>
        <v>45901</v>
      </c>
    </row>
    <row r="21" spans="1:8" ht="27.75" thickBot="1" x14ac:dyDescent="0.3">
      <c r="A21" s="45" t="s">
        <v>28</v>
      </c>
      <c r="B21" s="46" t="s">
        <v>29</v>
      </c>
      <c r="C21" s="45" t="s">
        <v>30</v>
      </c>
      <c r="D21" s="45" t="s">
        <v>31</v>
      </c>
    </row>
    <row r="22" spans="1:8" x14ac:dyDescent="0.25">
      <c r="A22" s="5" t="s">
        <v>17</v>
      </c>
      <c r="B22" s="4">
        <v>2</v>
      </c>
      <c r="C22" s="88" t="s">
        <v>38</v>
      </c>
      <c r="D22" s="9"/>
    </row>
    <row r="23" spans="1:8" x14ac:dyDescent="0.25">
      <c r="A23" s="1" t="s">
        <v>17</v>
      </c>
      <c r="B23" s="2">
        <v>2</v>
      </c>
      <c r="C23" s="89" t="s">
        <v>39</v>
      </c>
      <c r="D23" s="10"/>
    </row>
    <row r="24" spans="1:8" x14ac:dyDescent="0.25">
      <c r="A24" s="1" t="s">
        <v>22</v>
      </c>
      <c r="B24" s="2">
        <v>2</v>
      </c>
      <c r="C24" s="10" t="s">
        <v>40</v>
      </c>
      <c r="D24" s="10"/>
    </row>
    <row r="25" spans="1:8" ht="12.75" customHeight="1" x14ac:dyDescent="0.25">
      <c r="A25" s="1" t="s">
        <v>19</v>
      </c>
      <c r="B25" s="2">
        <v>3</v>
      </c>
      <c r="C25" s="10" t="s">
        <v>41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32</v>
      </c>
      <c r="B37" s="47">
        <f>SUM(B22:B36)</f>
        <v>9</v>
      </c>
      <c r="C37" s="86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27</v>
      </c>
      <c r="B39" s="43">
        <v>3</v>
      </c>
      <c r="C39" s="44" t="s">
        <v>33</v>
      </c>
      <c r="D39" s="53">
        <f>$D$20+7</f>
        <v>45908</v>
      </c>
    </row>
    <row r="40" spans="1:8" ht="27.75" thickBot="1" x14ac:dyDescent="0.3">
      <c r="A40" s="45" t="s">
        <v>28</v>
      </c>
      <c r="B40" s="46" t="s">
        <v>29</v>
      </c>
      <c r="C40" s="45" t="s">
        <v>30</v>
      </c>
      <c r="D40" s="45" t="s">
        <v>31</v>
      </c>
    </row>
    <row r="41" spans="1:8" x14ac:dyDescent="0.25">
      <c r="A41" s="5" t="s">
        <v>17</v>
      </c>
      <c r="B41" s="4">
        <v>3</v>
      </c>
      <c r="C41" s="9" t="s">
        <v>42</v>
      </c>
      <c r="D41" s="9"/>
    </row>
    <row r="42" spans="1:8" ht="27" x14ac:dyDescent="0.25">
      <c r="A42" s="1" t="s">
        <v>19</v>
      </c>
      <c r="B42" s="2">
        <v>5</v>
      </c>
      <c r="C42" s="10" t="s">
        <v>43</v>
      </c>
      <c r="D42" s="10"/>
    </row>
    <row r="43" spans="1:8" ht="27" x14ac:dyDescent="0.25">
      <c r="A43" s="1" t="s">
        <v>18</v>
      </c>
      <c r="B43" s="2">
        <v>1</v>
      </c>
      <c r="C43" s="10" t="s">
        <v>44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32</v>
      </c>
      <c r="B56" s="47">
        <f>SUM(B41:B55)</f>
        <v>9</v>
      </c>
      <c r="C56" s="86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27</v>
      </c>
      <c r="B58" s="43">
        <v>4</v>
      </c>
      <c r="C58" s="44" t="s">
        <v>33</v>
      </c>
      <c r="D58" s="53">
        <f>$D$39+7</f>
        <v>45915</v>
      </c>
    </row>
    <row r="59" spans="1:4" ht="27.75" thickBot="1" x14ac:dyDescent="0.3">
      <c r="A59" s="45" t="s">
        <v>28</v>
      </c>
      <c r="B59" s="46" t="s">
        <v>29</v>
      </c>
      <c r="C59" s="45" t="s">
        <v>30</v>
      </c>
      <c r="D59" s="45" t="s">
        <v>31</v>
      </c>
    </row>
    <row r="60" spans="1:4" x14ac:dyDescent="0.25">
      <c r="A60" s="5" t="s">
        <v>16</v>
      </c>
      <c r="B60" s="4">
        <v>9</v>
      </c>
      <c r="C60" s="90" t="s">
        <v>46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32</v>
      </c>
      <c r="B75" s="47">
        <f>SUM(B60:B74)</f>
        <v>9</v>
      </c>
      <c r="C75" s="86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27</v>
      </c>
      <c r="B77" s="43">
        <v>5</v>
      </c>
      <c r="C77" s="44" t="s">
        <v>33</v>
      </c>
      <c r="D77" s="53">
        <f>$D$58+14</f>
        <v>45929</v>
      </c>
    </row>
    <row r="78" spans="1:4" ht="27.75" thickBot="1" x14ac:dyDescent="0.3">
      <c r="A78" s="45" t="s">
        <v>28</v>
      </c>
      <c r="B78" s="46" t="s">
        <v>29</v>
      </c>
      <c r="C78" s="45" t="s">
        <v>30</v>
      </c>
      <c r="D78" s="45" t="s">
        <v>31</v>
      </c>
    </row>
    <row r="79" spans="1:4" x14ac:dyDescent="0.25">
      <c r="A79" s="5" t="s">
        <v>21</v>
      </c>
      <c r="B79" s="4">
        <v>4</v>
      </c>
      <c r="C79" s="90" t="s">
        <v>47</v>
      </c>
      <c r="D79" s="9"/>
    </row>
    <row r="80" spans="1:4" x14ac:dyDescent="0.25">
      <c r="A80" s="1" t="s">
        <v>19</v>
      </c>
      <c r="B80" s="2">
        <v>2</v>
      </c>
      <c r="C80" s="91" t="s">
        <v>48</v>
      </c>
      <c r="D80" s="10"/>
    </row>
    <row r="81" spans="1:4" x14ac:dyDescent="0.25">
      <c r="A81" s="1" t="s">
        <v>18</v>
      </c>
      <c r="B81" s="2">
        <v>2</v>
      </c>
      <c r="C81" s="91" t="s">
        <v>49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32</v>
      </c>
      <c r="B94" s="47">
        <f>SUM(B79:B93)</f>
        <v>8</v>
      </c>
      <c r="C94" s="86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27</v>
      </c>
      <c r="B96" s="43">
        <v>6</v>
      </c>
      <c r="C96" s="44" t="s">
        <v>33</v>
      </c>
      <c r="D96" s="53">
        <f>$D$77+7</f>
        <v>45936</v>
      </c>
    </row>
    <row r="97" spans="1:4" ht="27.75" thickBot="1" x14ac:dyDescent="0.3">
      <c r="A97" s="45" t="s">
        <v>28</v>
      </c>
      <c r="B97" s="46" t="s">
        <v>29</v>
      </c>
      <c r="C97" s="45" t="s">
        <v>30</v>
      </c>
      <c r="D97" s="45" t="s">
        <v>31</v>
      </c>
    </row>
    <row r="98" spans="1:4" x14ac:dyDescent="0.25">
      <c r="A98" s="5" t="s">
        <v>21</v>
      </c>
      <c r="B98" s="4">
        <v>2</v>
      </c>
      <c r="C98" s="90" t="s">
        <v>50</v>
      </c>
      <c r="D98" s="9"/>
    </row>
    <row r="99" spans="1:4" x14ac:dyDescent="0.25">
      <c r="A99" s="1" t="s">
        <v>19</v>
      </c>
      <c r="B99" s="2">
        <v>4</v>
      </c>
      <c r="C99" s="91" t="s">
        <v>51</v>
      </c>
      <c r="D99" s="10"/>
    </row>
    <row r="100" spans="1:4" x14ac:dyDescent="0.25">
      <c r="A100" s="1" t="s">
        <v>18</v>
      </c>
      <c r="B100" s="2">
        <v>3</v>
      </c>
      <c r="C100" s="91" t="s">
        <v>52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32</v>
      </c>
      <c r="B113" s="47">
        <f>SUM(B98:B112)</f>
        <v>9</v>
      </c>
      <c r="C113" s="86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27</v>
      </c>
      <c r="B115" s="43">
        <v>7</v>
      </c>
      <c r="C115" s="44" t="s">
        <v>33</v>
      </c>
      <c r="D115" s="53">
        <f>$D$96+21</f>
        <v>45957</v>
      </c>
    </row>
    <row r="116" spans="1:4" ht="27.75" thickBot="1" x14ac:dyDescent="0.3">
      <c r="A116" s="45" t="s">
        <v>28</v>
      </c>
      <c r="B116" s="46" t="s">
        <v>29</v>
      </c>
      <c r="C116" s="45" t="s">
        <v>30</v>
      </c>
      <c r="D116" s="45" t="s">
        <v>31</v>
      </c>
    </row>
    <row r="117" spans="1:4" x14ac:dyDescent="0.25">
      <c r="A117" s="5" t="s">
        <v>18</v>
      </c>
      <c r="B117" s="4">
        <v>9</v>
      </c>
      <c r="C117" s="90" t="s">
        <v>53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32</v>
      </c>
      <c r="B132" s="47">
        <f>SUM(B117:B131)</f>
        <v>9</v>
      </c>
      <c r="C132" s="86" t="s">
        <v>37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45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85A793E-8D8B-4657-9A58-4017948F02E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ADF7906F-BA59-445D-AAA0-B64564B8600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69C47590-6C92-4A68-9247-F33D3081458B}">
      <formula1>0</formula1>
      <formula2>NbPerWeek * NbQuartPer</formula2>
    </dataValidation>
    <dataValidation type="list" allowBlank="1" showInputMessage="1" showErrorMessage="1" sqref="A3:A17 A22:A36 A41:A55 A60:A74 A79:A93 A98:A112 A117:A131" xr:uid="{DEA5E6EA-62CF-4E57-B28F-3A28B312992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8cb6024266d177b928872b226e6993e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005441ce51d7a2dcada4efd17c7a03e9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a7a43f5-6407-498c-ac52-887c7ad1b00c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5cf4370-ac38-4b9e-9836-ef6f5df64f24"/>
    <ds:schemaRef ds:uri="eefa3612-053e-497a-ae76-8a76877f5e22"/>
  </ds:schemaRefs>
</ds:datastoreItem>
</file>

<file path=customXml/itemProps3.xml><?xml version="1.0" encoding="utf-8"?>
<ds:datastoreItem xmlns:ds="http://schemas.openxmlformats.org/officeDocument/2006/customXml" ds:itemID="{713A945C-CE85-466B-B79F-A3471A6469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Rayan Bartou</dc:creator>
  <cp:keywords/>
  <dc:description/>
  <cp:lastModifiedBy>Rayan Bartou</cp:lastModifiedBy>
  <cp:revision/>
  <dcterms:created xsi:type="dcterms:W3CDTF">1996-10-21T11:03:58Z</dcterms:created>
  <dcterms:modified xsi:type="dcterms:W3CDTF">2025-10-31T14:14:52Z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